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bethel360\pp\"/>
    </mc:Choice>
  </mc:AlternateContent>
  <xr:revisionPtr revIDLastSave="0" documentId="13_ncr:1_{C839865F-4A62-4EF9-829D-EF86284B514A}" xr6:coauthVersionLast="47" xr6:coauthVersionMax="47" xr10:uidLastSave="{00000000-0000-0000-0000-000000000000}"/>
  <bookViews>
    <workbookView xWindow="-108" yWindow="-108" windowWidth="23256" windowHeight="12456" xr2:uid="{AC93BAAC-B2BB-46BD-9217-4282AF4FF7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/>
  <c r="N4" i="1"/>
  <c r="O4" i="1"/>
  <c r="N6" i="1"/>
  <c r="O6" i="1"/>
  <c r="O2" i="1"/>
  <c r="N2" i="1"/>
  <c r="L3" i="1"/>
  <c r="L4" i="1"/>
  <c r="L5" i="1"/>
  <c r="O5" i="1" s="1"/>
  <c r="L6" i="1"/>
  <c r="L2" i="1"/>
  <c r="K3" i="1"/>
  <c r="K4" i="1"/>
  <c r="K5" i="1"/>
  <c r="N5" i="1" s="1"/>
  <c r="K6" i="1"/>
  <c r="K2" i="1"/>
  <c r="F3" i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<sst xmlns="http://schemas.openxmlformats.org/spreadsheetml/2006/main" count="14" uniqueCount="13">
  <si>
    <r>
      <t>Qtde P</t>
    </r>
    <r>
      <rPr>
        <b/>
        <sz val="11"/>
        <color rgb="FFFFFFFF"/>
        <rFont val="Aptos"/>
        <family val="2"/>
      </rPr>
      <t>essoas</t>
    </r>
  </si>
  <si>
    <t>Implantação</t>
  </si>
  <si>
    <t>Manutenção</t>
  </si>
  <si>
    <t>Acima de 5.000</t>
  </si>
  <si>
    <t>Sob consulta</t>
  </si>
  <si>
    <t>VL Implantação</t>
  </si>
  <si>
    <t>VL Manutenção</t>
  </si>
  <si>
    <t>Desc Manutenção</t>
  </si>
  <si>
    <t>Desc Implantação</t>
  </si>
  <si>
    <t>Neg Implantação</t>
  </si>
  <si>
    <t>Neg Manutenção</t>
  </si>
  <si>
    <t>VL Desc Implantação</t>
  </si>
  <si>
    <t>VL Desc Manutenção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</si>
</sst>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FFFFFF"/>
      <name val="Aptos"/>
      <family val="2"/>
    </font>
    <font>
      <b/>
      <sz val="11"/>
      <color rgb="FFFFFFFF"/>
      <name val="Aptos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</fills>
  <borders count="6">
    <border>
      <left/>
      <right/>
      <top/>
      <bottom/>
      <diagonal/>
    </border>
    <border>
      <left style="medium">
        <color rgb="FF156082"/>
      </left>
      <right/>
      <top style="medium">
        <color rgb="FF156082"/>
      </top>
      <bottom style="medium">
        <color rgb="FF156082"/>
      </bottom>
      <diagonal/>
    </border>
    <border>
      <left/>
      <right/>
      <top style="medium">
        <color rgb="FF156082"/>
      </top>
      <bottom style="medium">
        <color rgb="FF156082"/>
      </bottom>
      <diagonal/>
    </border>
    <border>
      <left/>
      <right style="medium">
        <color rgb="FF156082"/>
      </right>
      <top style="medium">
        <color rgb="FF156082"/>
      </top>
      <bottom style="medium">
        <color rgb="FF156082"/>
      </bottom>
      <diagonal/>
    </border>
    <border>
      <left style="medium">
        <color rgb="FF45B0E1"/>
      </left>
      <right style="medium">
        <color rgb="FF45B0E1"/>
      </right>
      <top/>
      <bottom style="medium">
        <color rgb="FF45B0E1"/>
      </bottom>
      <diagonal/>
    </border>
    <border>
      <left/>
      <right style="medium">
        <color rgb="FF45B0E1"/>
      </right>
      <top/>
      <bottom style="medium">
        <color rgb="FF45B0E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8" fontId="0" fillId="0" borderId="0" xfId="0" applyNumberFormat="1"/>
    <xf numFmtId="8" fontId="7" fillId="3" borderId="5" xfId="0" applyNumberFormat="1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8" fontId="2" fillId="0" borderId="5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3" fontId="6" fillId="3" borderId="4" xfId="0" applyNumberFormat="1" applyFont="1" applyFill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44" fontId="0" fillId="0" borderId="0" xfId="1" applyFont="1"/>
    <xf numFmtId="9" fontId="0" fillId="0" borderId="0" xfId="2" applyFont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2C21-53C4-48AA-95F9-F23992457A9C}">
  <dimension ref="A1:O7"/>
  <sheetViews>
    <sheetView tabSelected="1" workbookViewId="0">
      <selection activeCell="J5" sqref="J5"/>
    </sheetView>
  </sheetViews>
  <sheetFormatPr defaultColWidth="16.109375" defaultRowHeight="15.6" customHeight="1" x14ac:dyDescent="0.3"/>
  <cols>
    <col min="4" max="4" width="1.77734375" customWidth="1"/>
    <col min="5" max="6" width="18.33203125" customWidth="1"/>
    <col min="7" max="7" width="1.77734375" customWidth="1"/>
    <col min="8" max="9" width="18.33203125" customWidth="1"/>
    <col min="10" max="10" width="1.77734375" customWidth="1"/>
    <col min="11" max="12" width="18.33203125" customWidth="1"/>
    <col min="13" max="13" width="1.77734375" customWidth="1"/>
    <col min="14" max="15" width="18.33203125" customWidth="1"/>
  </cols>
  <sheetData>
    <row r="1" spans="1:15" ht="15.6" customHeight="1" thickBot="1" x14ac:dyDescent="0.35">
      <c r="A1" s="1" t="s">
        <v>0</v>
      </c>
      <c r="B1" s="2" t="s">
        <v>1</v>
      </c>
      <c r="C1" s="3" t="s">
        <v>2</v>
      </c>
      <c r="E1" s="13" t="s">
        <v>5</v>
      </c>
      <c r="F1" t="s">
        <v>6</v>
      </c>
      <c r="H1" t="s">
        <v>8</v>
      </c>
      <c r="I1" t="s">
        <v>7</v>
      </c>
      <c r="K1" t="s">
        <v>9</v>
      </c>
      <c r="L1" t="s">
        <v>10</v>
      </c>
      <c r="N1" t="s">
        <v>11</v>
      </c>
      <c r="O1" t="s">
        <v>12</v>
      </c>
    </row>
    <row r="2" spans="1:15" ht="15.6" customHeight="1" thickBot="1" x14ac:dyDescent="0.35">
      <c r="A2" s="9">
        <v>1000</v>
      </c>
      <c r="B2" s="5">
        <v>4590</v>
      </c>
      <c r="C2" s="5">
        <v>1490</v>
      </c>
      <c r="E2" s="11">
        <f>B2/A2</f>
        <v>4.59</v>
      </c>
      <c r="F2" s="4">
        <f>C2/A2</f>
        <v>1.49</v>
      </c>
      <c r="H2" s="12">
        <v>0.41176499999999999</v>
      </c>
      <c r="I2" s="12">
        <v>0.392096</v>
      </c>
      <c r="J2" s="12"/>
      <c r="K2" s="4">
        <f>B2-B2*H2</f>
        <v>2699.99865</v>
      </c>
      <c r="L2" s="4">
        <f>C2-C2*I2</f>
        <v>905.77696000000003</v>
      </c>
      <c r="N2" s="4">
        <f>B2-K2</f>
        <v>1890.00135</v>
      </c>
      <c r="O2" s="4">
        <f>C2-L2</f>
        <v>584.22303999999997</v>
      </c>
    </row>
    <row r="3" spans="1:15" ht="15.6" customHeight="1" thickBot="1" x14ac:dyDescent="0.35">
      <c r="A3" s="10">
        <v>2000</v>
      </c>
      <c r="B3" s="7">
        <v>9100</v>
      </c>
      <c r="C3" s="7">
        <v>2190</v>
      </c>
      <c r="E3" s="11">
        <f>B3/A3</f>
        <v>4.55</v>
      </c>
      <c r="F3" s="4">
        <f>C3/A3</f>
        <v>1.095</v>
      </c>
      <c r="H3" s="12">
        <v>0.41176499999999999</v>
      </c>
      <c r="I3" s="12">
        <v>0.392096</v>
      </c>
      <c r="J3" s="12"/>
      <c r="K3" s="4">
        <f t="shared" ref="K3:K6" si="0">B3-B3*H3</f>
        <v>5352.9385000000002</v>
      </c>
      <c r="L3" s="4">
        <f t="shared" ref="L3:L6" si="1">C3-C3*I3</f>
        <v>1331.3097600000001</v>
      </c>
      <c r="N3" s="4">
        <f t="shared" ref="N3:N6" si="2">B3-K3</f>
        <v>3747.0614999999998</v>
      </c>
      <c r="O3" s="4">
        <f t="shared" ref="O3:O6" si="3">C3-L3</f>
        <v>858.6902399999999</v>
      </c>
    </row>
    <row r="4" spans="1:15" ht="15.6" customHeight="1" thickBot="1" x14ac:dyDescent="0.35">
      <c r="A4" s="9">
        <v>3000</v>
      </c>
      <c r="B4" s="5">
        <v>13070</v>
      </c>
      <c r="C4" s="5">
        <v>2790</v>
      </c>
      <c r="E4" s="11">
        <f>B4/A4</f>
        <v>4.3566666666666665</v>
      </c>
      <c r="F4" s="4">
        <f>C4/A4</f>
        <v>0.93</v>
      </c>
      <c r="H4" s="12">
        <v>0.41176499999999999</v>
      </c>
      <c r="I4" s="12">
        <v>0.392096</v>
      </c>
      <c r="J4" s="12"/>
      <c r="K4" s="4">
        <f t="shared" si="0"/>
        <v>7688.2314500000002</v>
      </c>
      <c r="L4" s="4">
        <f t="shared" si="1"/>
        <v>1696.05216</v>
      </c>
      <c r="N4" s="4">
        <f t="shared" si="2"/>
        <v>5381.7685499999998</v>
      </c>
      <c r="O4" s="4">
        <f t="shared" si="3"/>
        <v>1093.94784</v>
      </c>
    </row>
    <row r="5" spans="1:15" ht="15.6" customHeight="1" thickBot="1" x14ac:dyDescent="0.35">
      <c r="A5" s="10">
        <v>4000</v>
      </c>
      <c r="B5" s="7">
        <v>17000</v>
      </c>
      <c r="C5" s="7">
        <v>3290</v>
      </c>
      <c r="E5" s="11">
        <f>B5/A5</f>
        <v>4.25</v>
      </c>
      <c r="F5" s="4">
        <f>C5/A5</f>
        <v>0.82250000000000001</v>
      </c>
      <c r="H5" s="12">
        <v>0.2</v>
      </c>
      <c r="I5" s="12">
        <v>0.2</v>
      </c>
      <c r="J5" s="12"/>
      <c r="K5" s="4">
        <f t="shared" si="0"/>
        <v>13600</v>
      </c>
      <c r="L5" s="4">
        <f t="shared" si="1"/>
        <v>2632</v>
      </c>
      <c r="N5" s="4">
        <f t="shared" si="2"/>
        <v>3400</v>
      </c>
      <c r="O5" s="4">
        <f t="shared" si="3"/>
        <v>658</v>
      </c>
    </row>
    <row r="6" spans="1:15" ht="15.6" customHeight="1" thickBot="1" x14ac:dyDescent="0.35">
      <c r="A6" s="9">
        <v>5000</v>
      </c>
      <c r="B6" s="5">
        <v>21030</v>
      </c>
      <c r="C6" s="5">
        <v>3790</v>
      </c>
      <c r="E6" s="11">
        <f>B6/A6</f>
        <v>4.2060000000000004</v>
      </c>
      <c r="F6" s="4">
        <f>C6/A6</f>
        <v>0.75800000000000001</v>
      </c>
      <c r="H6" s="12">
        <v>0.41176499999999999</v>
      </c>
      <c r="I6" s="12">
        <v>0.392096</v>
      </c>
      <c r="J6" s="12"/>
      <c r="K6" s="4">
        <f t="shared" si="0"/>
        <v>12370.582050000001</v>
      </c>
      <c r="L6" s="4">
        <f t="shared" si="1"/>
        <v>2303.9561599999997</v>
      </c>
      <c r="N6" s="4">
        <f t="shared" si="2"/>
        <v>8659.4179499999991</v>
      </c>
      <c r="O6" s="4">
        <f t="shared" si="3"/>
        <v>1486.0438400000003</v>
      </c>
    </row>
    <row r="7" spans="1:15" ht="15.6" customHeight="1" thickBot="1" x14ac:dyDescent="0.35">
      <c r="A7" s="6" t="s">
        <v>3</v>
      </c>
      <c r="B7" s="8" t="s">
        <v>4</v>
      </c>
      <c r="C7" s="8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Alves</dc:creator>
  <cp:lastModifiedBy>Alex Alves</cp:lastModifiedBy>
  <dcterms:created xsi:type="dcterms:W3CDTF">2025-07-06T02:24:00Z</dcterms:created>
  <dcterms:modified xsi:type="dcterms:W3CDTF">2025-07-16T01:39:07Z</dcterms:modified>
</cp:coreProperties>
</file>